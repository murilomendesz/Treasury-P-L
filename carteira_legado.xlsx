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/>
  <mc:AlternateContent xmlns:mc="http://schemas.openxmlformats.org/markup-compatibility/2006">
    <mc:Choice Requires="x15">
      <x15ac:absPath xmlns:x15ac="http://schemas.microsoft.com/office/spreadsheetml/2010/11/ac" url="C:\Users\muril\Documents\PANDAS\PROJETO TREASURY\"/>
    </mc:Choice>
  </mc:AlternateContent>
  <xr:revisionPtr revIDLastSave="0" documentId="13_ncr:1_{AF44E387-2481-49E5-9653-9DD08C754B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RTEIRA RF" sheetId="1" r:id="rId1"/>
    <sheet name="CONTROLE CARTEIRA" sheetId="2" r:id="rId2"/>
    <sheet name="PARÂMETR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M9" i="1"/>
  <c r="K9" i="1"/>
  <c r="J9" i="1"/>
  <c r="P8" i="1"/>
  <c r="M8" i="1"/>
  <c r="K8" i="1"/>
  <c r="J8" i="1"/>
  <c r="P7" i="1"/>
  <c r="M7" i="1"/>
  <c r="K7" i="1"/>
  <c r="J7" i="1"/>
  <c r="P6" i="1"/>
  <c r="M6" i="1"/>
  <c r="K6" i="1"/>
  <c r="J6" i="1"/>
  <c r="P5" i="1"/>
  <c r="M5" i="1"/>
  <c r="K5" i="1"/>
  <c r="J5" i="1"/>
  <c r="P4" i="1"/>
  <c r="P10" i="1" s="1"/>
  <c r="M4" i="1"/>
  <c r="K4" i="1"/>
  <c r="J4" i="1"/>
  <c r="P3" i="1"/>
  <c r="M3" i="1"/>
  <c r="K3" i="1"/>
  <c r="N10" i="1" s="1"/>
  <c r="J3" i="1"/>
  <c r="L9" i="1" l="1"/>
  <c r="L8" i="1"/>
  <c r="K10" i="1"/>
  <c r="L7" i="1"/>
  <c r="J10" i="1"/>
  <c r="L6" i="1"/>
  <c r="L5" i="1"/>
  <c r="L4" i="1"/>
  <c r="L3" i="1"/>
  <c r="M10" i="1" l="1"/>
  <c r="L10" i="1"/>
</calcChain>
</file>

<file path=xl/sharedStrings.xml><?xml version="1.0" encoding="utf-8"?>
<sst xmlns="http://schemas.openxmlformats.org/spreadsheetml/2006/main" count="140" uniqueCount="72">
  <si>
    <t>CARTEIRA DE RENDA FIXA — BOOK DE TESOURARIA</t>
  </si>
  <si>
    <t>Título</t>
  </si>
  <si>
    <t>Indexador</t>
  </si>
  <si>
    <t>Vencimento</t>
  </si>
  <si>
    <t>DU</t>
  </si>
  <si>
    <t>Qtd (títulos)</t>
  </si>
  <si>
    <t>Taxa Compra</t>
  </si>
  <si>
    <t>Taxa Mercado</t>
  </si>
  <si>
    <t>PU Compra</t>
  </si>
  <si>
    <t>PU Mercado</t>
  </si>
  <si>
    <t>Valor Compra</t>
  </si>
  <si>
    <t>Valor Mercado</t>
  </si>
  <si>
    <t>P&amp;L (R$)</t>
  </si>
  <si>
    <t>P&amp;L (%)</t>
  </si>
  <si>
    <t>Duration</t>
  </si>
  <si>
    <t>DV01</t>
  </si>
  <si>
    <t>DV01 Total</t>
  </si>
  <si>
    <t>LTN 01/07/2026</t>
  </si>
  <si>
    <t>Pré</t>
  </si>
  <si>
    <t>01/07/2026</t>
  </si>
  <si>
    <t>LTN 01/01/2028</t>
  </si>
  <si>
    <t>01/01/2028</t>
  </si>
  <si>
    <t>NTN-F 01/01/2031</t>
  </si>
  <si>
    <t>01/01/2031</t>
  </si>
  <si>
    <t>NTN-B 15/05/2029</t>
  </si>
  <si>
    <t>IPCA+</t>
  </si>
  <si>
    <t>15/05/2029</t>
  </si>
  <si>
    <t>NTN-B 15/05/2035</t>
  </si>
  <si>
    <t>15/05/2035</t>
  </si>
  <si>
    <t>LFT 01/03/2027</t>
  </si>
  <si>
    <t>Selic</t>
  </si>
  <si>
    <t>01/03/2027</t>
  </si>
  <si>
    <t>LFT 01/09/2030</t>
  </si>
  <si>
    <t>01/09/2030</t>
  </si>
  <si>
    <t>TOTAIS</t>
  </si>
  <si>
    <t>* Compra fictícia em 07/03/2026 com quantidades proporcionais ao PU (LTN/NTN-F: 1.000u · NTN-B: 200u · LFT: 50u). Altere QUANTIDADES no código para customizar.</t>
  </si>
  <si>
    <t>LEGENDA DE CORES</t>
  </si>
  <si>
    <t xml:space="preserve">   </t>
  </si>
  <si>
    <t>Input do usuário (editar aqui)</t>
  </si>
  <si>
    <t>Atualizado pelo Python automaticamente</t>
  </si>
  <si>
    <t>Fórmula nativa do Excel</t>
  </si>
  <si>
    <t>Informativo — spread DV01/Duration (LFT, fora do total)</t>
  </si>
  <si>
    <t>* Duration e DV01 das LFTs (em cinza) = spread duration/DV01: sensibilidade a 1bp de variação no SPREAD sobre a Selic. Não incluídos no DV01 Total da carteira pois não são comparáveis ao risco de taxa prefixada/IPCA+.</t>
  </si>
  <si>
    <t>Fonte: BACEN SGS (séries 11, 433, 432, 13522) | Atualizado por treasury.py</t>
  </si>
  <si>
    <t>PAINEL DE RISCO — CONTROLE DE CARTEIRA</t>
  </si>
  <si>
    <t>P&amp;L Total (desde 07/03)</t>
  </si>
  <si>
    <t>Valor de Mercado</t>
  </si>
  <si>
    <t>DV01 da Carteira (ex-LFT)</t>
  </si>
  <si>
    <t>Duration Média (ex-LFT)</t>
  </si>
  <si>
    <t>P&amp;L do Dia</t>
  </si>
  <si>
    <t>Variação do Valor de Mercado em relação ao dia anterior (histórico.csv)</t>
  </si>
  <si>
    <t>EXPOSIÇÃO POR INDEXADOR</t>
  </si>
  <si>
    <t>Valor Mercado (R$)</t>
  </si>
  <si>
    <t>DV01 Total (R$)</t>
  </si>
  <si>
    <t>← Python</t>
  </si>
  <si>
    <t>* Seção 'Exposição por Indexador' e gráficos são atualizados automaticamente pelo Python ao rodar treasury.py</t>
  </si>
  <si>
    <t>* Os gráficos (P&amp;L por título, DV01 por indexador, Histórico P&amp;L) são gerados em Matplotlib e colados aqui automaticamente pelo Python</t>
  </si>
  <si>
    <t>PARÂMETROS DE MERCADO — Atualizado pelo Python (treasury.py)</t>
  </si>
  <si>
    <t>INDICADORES MACRO</t>
  </si>
  <si>
    <t>Selic Meta (% a.a.)</t>
  </si>
  <si>
    <t>IPCA Acumulado 12m (%)</t>
  </si>
  <si>
    <t>VNA LFT (R$)</t>
  </si>
  <si>
    <t>Última Atualização</t>
  </si>
  <si>
    <t>Data de Compra (posição)</t>
  </si>
  <si>
    <t>07/03/2026</t>
  </si>
  <si>
    <t>CURVA ETTJ — ANBIMA (Pré)</t>
  </si>
  <si>
    <t>Vértice (anos)</t>
  </si>
  <si>
    <t>Taxa (% a.a.)</t>
  </si>
  <si>
    <t>Data Referência</t>
  </si>
  <si>
    <t>Fonte</t>
  </si>
  <si>
    <t>TAXAS INDICATIVAS — por título</t>
  </si>
  <si>
    <t>16/03/2026 22:02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</si>
</sst>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0000"/>
    <numFmt numFmtId="165" formatCode="&quot;R$ &quot;#,##0.00"/>
    <numFmt numFmtId="166" formatCode="&quot;R$ &quot;#,##0.0000"/>
    <numFmt numFmtId="167" formatCode="0.0000%"/>
    <numFmt numFmtId="168" formatCode="&quot;R$&quot;\ #.##000;\-&quot;R$&quot;\ #.##000;&quot;—&quot;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10"/>
      <color rgb="FF1A1A2E"/>
      <name val="Calibri"/>
      <charset val="1"/>
    </font>
    <font>
      <b/>
      <sz val="9"/>
      <color rgb="FF1A1A2E"/>
      <name val="Calibri"/>
      <charset val="1"/>
    </font>
    <font>
      <sz val="9"/>
      <color rgb="FF333333"/>
      <name val="Calibri"/>
      <charset val="1"/>
    </font>
    <font>
      <i/>
      <sz val="8"/>
      <color rgb="FF888888"/>
      <name val="Calibri"/>
      <charset val="1"/>
    </font>
    <font>
      <b/>
      <sz val="9"/>
      <color rgb="FFFFFFFF"/>
      <name val="Calibri"/>
      <charset val="1"/>
    </font>
    <font>
      <b/>
      <sz val="16"/>
      <color rgb="FF1A1A2E"/>
      <name val="Calibri"/>
      <charset val="1"/>
    </font>
    <font>
      <b/>
      <sz val="10"/>
      <name val="Calibri"/>
      <charset val="1"/>
    </font>
    <font>
      <b/>
      <sz val="11"/>
      <color rgb="FFFFFFFF"/>
      <name val="Calibri"/>
      <charset val="1"/>
    </font>
    <font>
      <i/>
      <sz val="10"/>
      <color rgb="FF888888"/>
      <name val="Calibri"/>
      <family val="2"/>
    </font>
    <font>
      <i/>
      <sz val="9"/>
      <color rgb="FF888888"/>
      <name val="Calibri"/>
      <family val="2"/>
    </font>
    <font>
      <b/>
      <sz val="16"/>
      <color rgb="FF4F6A2D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5F6FA"/>
        <bgColor rgb="FFF5F5F5"/>
      </patternFill>
    </fill>
    <fill>
      <patternFill patternType="solid">
        <fgColor rgb="FFDBEAFE"/>
        <bgColor rgb="FFE8F0FE"/>
      </patternFill>
    </fill>
    <fill>
      <patternFill patternType="solid">
        <fgColor rgb="FFFFF9C4"/>
        <bgColor rgb="FFF5F5F5"/>
      </patternFill>
    </fill>
    <fill>
      <patternFill patternType="solid">
        <fgColor rgb="FFF0F0F0"/>
        <bgColor rgb="FFF5F5F5"/>
      </patternFill>
    </fill>
    <fill>
      <patternFill patternType="solid">
        <fgColor rgb="FFFFFFFF"/>
        <bgColor rgb="FFF5F6FA"/>
      </patternFill>
    </fill>
    <fill>
      <patternFill patternType="solid">
        <fgColor rgb="FFF5F5F5"/>
        <bgColor rgb="FFF5F6FA"/>
      </patternFill>
    </fill>
    <fill>
      <patternFill patternType="solid">
        <fgColor rgb="FF16213E"/>
        <bgColor rgb="FF1A1A2E"/>
      </patternFill>
    </fill>
    <fill>
      <patternFill patternType="solid">
        <fgColor rgb="FFE8F0FE"/>
        <bgColor rgb="FFF0F0F0"/>
      </patternFill>
    </fill>
  </fills>
  <borders count="6">
    <border>
      <left/>
      <right/>
      <top/>
      <bottom/>
      <diagonal/>
    </border>
    <border>
      <left style="medium">
        <color rgb="FF1A1A2E"/>
      </left>
      <right/>
      <top style="medium">
        <color rgb="FF1A1A2E"/>
      </top>
      <bottom style="medium">
        <color rgb="FF1A1A2E"/>
      </bottom>
      <diagonal/>
    </border>
    <border>
      <left style="medium">
        <color rgb="FF1A1A2E"/>
      </left>
      <right style="medium">
        <color rgb="FF1A1A2E"/>
      </right>
      <top style="medium">
        <color rgb="FF1A1A2E"/>
      </top>
      <bottom style="medium">
        <color rgb="FF1A1A2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1A1A2E"/>
      </top>
      <bottom style="medium">
        <color rgb="FF1A1A2E"/>
      </bottom>
      <diagonal/>
    </border>
    <border>
      <left/>
      <right style="medium">
        <color rgb="FF1A1A2E"/>
      </right>
      <top style="medium">
        <color rgb="FF1A1A2E"/>
      </top>
      <bottom style="medium">
        <color rgb="FF1A1A2E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9" fillId="9" borderId="2" xfId="0" applyFont="1" applyFill="1" applyBorder="1" applyAlignment="1">
      <alignment horizontal="center" vertical="center"/>
    </xf>
    <xf numFmtId="0" fontId="8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0" fontId="5" fillId="5" borderId="3" xfId="0" applyNumberFormat="1" applyFont="1" applyFill="1" applyBorder="1" applyAlignment="1">
      <alignment horizontal="center" vertical="center"/>
    </xf>
    <xf numFmtId="10" fontId="5" fillId="4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5" fontId="4" fillId="6" borderId="3" xfId="0" applyNumberFormat="1" applyFont="1" applyFill="1" applyBorder="1" applyAlignment="1">
      <alignment horizontal="center" vertical="center"/>
    </xf>
    <xf numFmtId="10" fontId="4" fillId="6" borderId="3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0" fillId="4" borderId="3" xfId="0" applyFill="1" applyBorder="1"/>
    <xf numFmtId="0" fontId="0" fillId="6" borderId="3" xfId="0" applyFill="1" applyBorder="1"/>
    <xf numFmtId="0" fontId="0" fillId="8" borderId="3" xfId="0" applyFill="1" applyBorder="1"/>
    <xf numFmtId="165" fontId="10" fillId="10" borderId="2" xfId="0" applyNumberFormat="1" applyFont="1" applyFill="1" applyBorder="1" applyAlignment="1">
      <alignment horizontal="center" vertical="center"/>
    </xf>
    <xf numFmtId="2" fontId="10" fillId="10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165" fontId="5" fillId="4" borderId="3" xfId="0" applyNumberFormat="1" applyFont="1" applyFill="1" applyBorder="1" applyAlignment="1">
      <alignment horizontal="center"/>
    </xf>
    <xf numFmtId="10" fontId="5" fillId="4" borderId="3" xfId="0" applyNumberFormat="1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166" fontId="5" fillId="4" borderId="3" xfId="0" applyNumberFormat="1" applyFont="1" applyFill="1" applyBorder="1" applyAlignment="1">
      <alignment horizontal="center"/>
    </xf>
    <xf numFmtId="49" fontId="5" fillId="4" borderId="3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67" fontId="5" fillId="3" borderId="3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67" fontId="5" fillId="7" borderId="3" xfId="0" applyNumberFormat="1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167" fontId="5" fillId="4" borderId="3" xfId="0" applyNumberFormat="1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2" fontId="13" fillId="8" borderId="3" xfId="0" applyNumberFormat="1" applyFont="1" applyFill="1" applyBorder="1" applyAlignment="1">
      <alignment horizontal="center" vertical="center"/>
    </xf>
    <xf numFmtId="165" fontId="13" fillId="8" borderId="3" xfId="0" applyNumberFormat="1" applyFont="1" applyFill="1" applyBorder="1" applyAlignment="1">
      <alignment horizontal="center" vertical="center"/>
    </xf>
    <xf numFmtId="0" fontId="1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8" fillId="0" borderId="0" xfId="0" applyFont="1"/>
    <xf numFmtId="0" fontId="6" fillId="0" borderId="0" xfId="0" applyFont="1"/>
    <xf numFmtId="0" fontId="2" fillId="9" borderId="2" xfId="0" applyFont="1" applyFill="1" applyBorder="1" applyAlignment="1">
      <alignment horizontal="center" vertical="center"/>
    </xf>
    <xf numFmtId="0" fontId="0" fillId="0" borderId="5" xfId="0" applyBorder="1"/>
    <xf numFmtId="0" fontId="12" fillId="2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168" fontId="15" fillId="1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color rgb="FF922B21"/>
      </font>
      <fill>
        <patternFill>
          <bgColor rgb="FFFADBD8"/>
        </patternFill>
      </fill>
    </dxf>
    <dxf>
      <font>
        <b/>
        <color rgb="FF1E8449"/>
      </font>
      <fill>
        <patternFill>
          <bgColor rgb="FFC8F7C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C4"/>
      <rgbColor rgb="FFDBEAFE"/>
      <rgbColor rgb="FF660066"/>
      <rgbColor rgb="FFFF8080"/>
      <rgbColor rgb="FF0066CC"/>
      <rgbColor rgb="FFF0F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8F7C5"/>
      <rgbColor rgb="FFF5F5F5"/>
      <rgbColor rgb="FFF5F6FA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213E"/>
      <rgbColor rgb="FF1E8449"/>
      <rgbColor rgb="FF003300"/>
      <rgbColor rgb="FF1A1A2E"/>
      <rgbColor rgb="FF922B2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6</xdr:col>
      <xdr:colOff>40640</xdr:colOff>
      <xdr:row>30</xdr:row>
      <xdr:rowOff>106680</xdr:rowOff>
    </xdr:to>
    <xdr:pic>
      <xdr:nvPicPr>
        <xdr:cNvPr id="3" name="GraficoPL">
          <a:extLst>
            <a:ext uri="{FF2B5EF4-FFF2-40B4-BE49-F238E27FC236}">
              <a16:creationId xmlns:a16="http://schemas.microsoft.com/office/drawing/2014/main" id="{D8536A9B-473F-CE41-9A02-FE1D53675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42360"/>
          <a:ext cx="6350000" cy="266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10</xdr:col>
      <xdr:colOff>568960</xdr:colOff>
      <xdr:row>30</xdr:row>
      <xdr:rowOff>106680</xdr:rowOff>
    </xdr:to>
    <xdr:pic>
      <xdr:nvPicPr>
        <xdr:cNvPr id="6" name="GraficoDV01">
          <a:extLst>
            <a:ext uri="{FF2B5EF4-FFF2-40B4-BE49-F238E27FC236}">
              <a16:creationId xmlns:a16="http://schemas.microsoft.com/office/drawing/2014/main" id="{25CD1A2B-CBC3-5ECF-1242-73875C3783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9360" y="3642360"/>
          <a:ext cx="4318000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8</xdr:col>
      <xdr:colOff>426720</xdr:colOff>
      <xdr:row>46</xdr:row>
      <xdr:rowOff>106680</xdr:rowOff>
    </xdr:to>
    <xdr:pic>
      <xdr:nvPicPr>
        <xdr:cNvPr id="9" name="GraficoHist">
          <a:extLst>
            <a:ext uri="{FF2B5EF4-FFF2-40B4-BE49-F238E27FC236}">
              <a16:creationId xmlns:a16="http://schemas.microsoft.com/office/drawing/2014/main" id="{D32396C4-C092-1A07-ED39-340FD695A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68440"/>
          <a:ext cx="8382000" cy="266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showGridLines="0" tabSelected="1" zoomScaleNormal="100" workbookViewId="0">
      <pane ySplit="2" topLeftCell="A3" activePane="bottomLeft" state="frozen"/>
      <selection pane="bottomLeft" sqref="A1:P1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4" customWidth="1"/>
    <col min="4" max="4" width="8" customWidth="1"/>
    <col min="5" max="5" width="14" customWidth="1"/>
    <col min="6" max="7" width="13" customWidth="1"/>
    <col min="8" max="9" width="14" customWidth="1"/>
    <col min="10" max="11" width="16" customWidth="1"/>
    <col min="12" max="12" width="14" customWidth="1"/>
    <col min="13" max="13" width="10" customWidth="1"/>
    <col min="14" max="15" width="11" customWidth="1"/>
    <col min="16" max="16" width="13" customWidth="1"/>
  </cols>
  <sheetData>
    <row r="1" spans="1:16" ht="27.75" customHeight="1" x14ac:dyDescent="0.3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6" ht="31.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spans="1:16" x14ac:dyDescent="0.3">
      <c r="A3" s="4" t="s">
        <v>17</v>
      </c>
      <c r="B3" s="5" t="s">
        <v>18</v>
      </c>
      <c r="C3" s="5" t="s">
        <v>19</v>
      </c>
      <c r="D3" s="6">
        <v>73</v>
      </c>
      <c r="E3" s="7">
        <v>1000</v>
      </c>
      <c r="F3" s="8">
        <v>0.14235900000000001</v>
      </c>
      <c r="G3" s="9">
        <v>0.14233700000000002</v>
      </c>
      <c r="H3" s="10">
        <v>959.64082780112915</v>
      </c>
      <c r="I3" s="10">
        <v>962.1837471852192</v>
      </c>
      <c r="J3" s="11">
        <f t="shared" ref="J3:J9" si="0">H3*E3</f>
        <v>959640.8278011292</v>
      </c>
      <c r="K3" s="11">
        <f t="shared" ref="K3:K9" si="1">I3*E3</f>
        <v>962183.7471852192</v>
      </c>
      <c r="L3" s="11">
        <f t="shared" ref="L3:L9" si="2">K3-J3</f>
        <v>2542.919384089997</v>
      </c>
      <c r="M3" s="12">
        <f t="shared" ref="M3:M9" si="3">IF(H3=0,0,(I3/H3)-1)</f>
        <v>2.6498657731317543E-3</v>
      </c>
      <c r="N3" s="13">
        <v>0.28968253968253971</v>
      </c>
      <c r="O3" s="14">
        <v>2.4399790213034952E-2</v>
      </c>
      <c r="P3" s="11">
        <f t="shared" ref="P3:P9" si="4">O3*E3</f>
        <v>24.399790213034951</v>
      </c>
    </row>
    <row r="4" spans="1:16" x14ac:dyDescent="0.3">
      <c r="A4" s="15" t="s">
        <v>20</v>
      </c>
      <c r="B4" s="16" t="s">
        <v>18</v>
      </c>
      <c r="C4" s="16" t="s">
        <v>21</v>
      </c>
      <c r="D4" s="6">
        <v>450</v>
      </c>
      <c r="E4" s="7">
        <v>1000</v>
      </c>
      <c r="F4" s="8">
        <v>0.131718</v>
      </c>
      <c r="G4" s="9">
        <v>0.13574</v>
      </c>
      <c r="H4" s="10">
        <v>799.78389049055932</v>
      </c>
      <c r="I4" s="10">
        <v>796.68683377290654</v>
      </c>
      <c r="J4" s="11">
        <f t="shared" si="0"/>
        <v>799783.89049055928</v>
      </c>
      <c r="K4" s="11">
        <f t="shared" si="1"/>
        <v>796686.83377290657</v>
      </c>
      <c r="L4" s="11">
        <f t="shared" si="2"/>
        <v>-3097.0567176527111</v>
      </c>
      <c r="M4" s="12">
        <f t="shared" si="3"/>
        <v>-3.8723669662227289E-3</v>
      </c>
      <c r="N4" s="13">
        <v>1.7857142857142858</v>
      </c>
      <c r="O4" s="14">
        <v>0.12526238930642239</v>
      </c>
      <c r="P4" s="11">
        <f t="shared" si="4"/>
        <v>125.26238930642239</v>
      </c>
    </row>
    <row r="5" spans="1:16" x14ac:dyDescent="0.3">
      <c r="A5" s="4" t="s">
        <v>22</v>
      </c>
      <c r="B5" s="5" t="s">
        <v>18</v>
      </c>
      <c r="C5" s="5" t="s">
        <v>23</v>
      </c>
      <c r="D5" s="6">
        <v>1199</v>
      </c>
      <c r="E5" s="7">
        <v>1000</v>
      </c>
      <c r="F5" s="8">
        <v>0.138215</v>
      </c>
      <c r="G5" s="9">
        <v>0.13910500000000001</v>
      </c>
      <c r="H5" s="10">
        <v>895.5353966743927</v>
      </c>
      <c r="I5" s="10">
        <v>895.20027977805751</v>
      </c>
      <c r="J5" s="11">
        <f t="shared" si="0"/>
        <v>895535.39667439274</v>
      </c>
      <c r="K5" s="11">
        <f t="shared" si="1"/>
        <v>895200.27977805748</v>
      </c>
      <c r="L5" s="11">
        <f t="shared" si="2"/>
        <v>-335.11689633526839</v>
      </c>
      <c r="M5" s="12">
        <f t="shared" si="3"/>
        <v>-3.7420843171542817E-4</v>
      </c>
      <c r="N5" s="13">
        <v>3.7643006721104952</v>
      </c>
      <c r="O5" s="14">
        <v>0.29582900740862744</v>
      </c>
      <c r="P5" s="11">
        <f t="shared" si="4"/>
        <v>295.82900740862743</v>
      </c>
    </row>
    <row r="6" spans="1:16" x14ac:dyDescent="0.3">
      <c r="A6" s="15" t="s">
        <v>24</v>
      </c>
      <c r="B6" s="16" t="s">
        <v>25</v>
      </c>
      <c r="C6" s="16" t="s">
        <v>26</v>
      </c>
      <c r="D6" s="6">
        <v>790</v>
      </c>
      <c r="E6" s="7">
        <v>200</v>
      </c>
      <c r="F6" s="8">
        <v>7.8174999999999994E-2</v>
      </c>
      <c r="G6" s="9">
        <v>8.0099000000000004E-2</v>
      </c>
      <c r="H6" s="10">
        <v>4490.4885004578327</v>
      </c>
      <c r="I6" s="10">
        <v>4484.889751050182</v>
      </c>
      <c r="J6" s="11">
        <f t="shared" si="0"/>
        <v>898097.70009156654</v>
      </c>
      <c r="K6" s="11">
        <f t="shared" si="1"/>
        <v>896977.95021003636</v>
      </c>
      <c r="L6" s="11">
        <f t="shared" si="2"/>
        <v>-1119.7498815301806</v>
      </c>
      <c r="M6" s="12">
        <f t="shared" si="3"/>
        <v>-1.2468018584347318E-3</v>
      </c>
      <c r="N6" s="13">
        <v>2.8410627753042696</v>
      </c>
      <c r="O6" s="14">
        <v>1.1796930950822384</v>
      </c>
      <c r="P6" s="11">
        <f t="shared" si="4"/>
        <v>235.93861901644769</v>
      </c>
    </row>
    <row r="7" spans="1:16" x14ac:dyDescent="0.3">
      <c r="A7" s="4" t="s">
        <v>27</v>
      </c>
      <c r="B7" s="5" t="s">
        <v>25</v>
      </c>
      <c r="C7" s="5" t="s">
        <v>28</v>
      </c>
      <c r="D7" s="6">
        <v>2294</v>
      </c>
      <c r="E7" s="7">
        <v>200</v>
      </c>
      <c r="F7" s="8">
        <v>7.7003000000000002E-2</v>
      </c>
      <c r="G7" s="9">
        <v>7.5815999999999995E-2</v>
      </c>
      <c r="H7" s="10">
        <v>4224.6544077905864</v>
      </c>
      <c r="I7" s="10">
        <v>4273.0362786558762</v>
      </c>
      <c r="J7" s="11">
        <f t="shared" si="0"/>
        <v>844930.88155811734</v>
      </c>
      <c r="K7" s="11">
        <f t="shared" si="1"/>
        <v>854607.25573117519</v>
      </c>
      <c r="L7" s="11">
        <f t="shared" si="2"/>
        <v>9676.3741730578477</v>
      </c>
      <c r="M7" s="12">
        <f t="shared" si="3"/>
        <v>1.1452267143099215E-2</v>
      </c>
      <c r="N7" s="13">
        <v>6.8881356185069507</v>
      </c>
      <c r="O7" s="14">
        <v>2.735900320331909</v>
      </c>
      <c r="P7" s="11">
        <f t="shared" si="4"/>
        <v>547.18006406638176</v>
      </c>
    </row>
    <row r="8" spans="1:16" x14ac:dyDescent="0.3">
      <c r="A8" s="15" t="s">
        <v>29</v>
      </c>
      <c r="B8" s="16" t="s">
        <v>30</v>
      </c>
      <c r="C8" s="16" t="s">
        <v>31</v>
      </c>
      <c r="D8" s="6">
        <v>238</v>
      </c>
      <c r="E8" s="7">
        <v>50</v>
      </c>
      <c r="F8" s="8">
        <v>5.1999999999999997E-5</v>
      </c>
      <c r="G8" s="9">
        <v>9.0000000000000002E-6</v>
      </c>
      <c r="H8" s="10">
        <v>18538.996550165844</v>
      </c>
      <c r="I8" s="10">
        <v>18601.180105965152</v>
      </c>
      <c r="J8" s="11">
        <f t="shared" si="0"/>
        <v>926949.82750829216</v>
      </c>
      <c r="K8" s="11">
        <f t="shared" si="1"/>
        <v>930059.00529825757</v>
      </c>
      <c r="L8" s="11">
        <f t="shared" si="2"/>
        <v>3109.1777899654116</v>
      </c>
      <c r="M8" s="12">
        <f t="shared" si="3"/>
        <v>3.3542028896245135E-3</v>
      </c>
      <c r="N8" s="45">
        <v>0.94444444444444442</v>
      </c>
      <c r="O8" s="46">
        <v>1.7567623102581391</v>
      </c>
      <c r="P8" s="46">
        <f t="shared" si="4"/>
        <v>87.838115512906953</v>
      </c>
    </row>
    <row r="9" spans="1:16" x14ac:dyDescent="0.3">
      <c r="A9" s="4" t="s">
        <v>32</v>
      </c>
      <c r="B9" s="5" t="s">
        <v>30</v>
      </c>
      <c r="C9" s="5" t="s">
        <v>33</v>
      </c>
      <c r="D9" s="6">
        <v>1115</v>
      </c>
      <c r="E9" s="7">
        <v>50</v>
      </c>
      <c r="F9" s="8">
        <v>9.5799999999999998E-4</v>
      </c>
      <c r="G9" s="9">
        <v>9.2000000000000003E-4</v>
      </c>
      <c r="H9" s="10">
        <v>18461.192702949655</v>
      </c>
      <c r="I9" s="10">
        <v>18525.807531003822</v>
      </c>
      <c r="J9" s="11">
        <f t="shared" si="0"/>
        <v>923059.63514748274</v>
      </c>
      <c r="K9" s="11">
        <f t="shared" si="1"/>
        <v>926290.37655019108</v>
      </c>
      <c r="L9" s="11">
        <f t="shared" si="2"/>
        <v>3230.7414027083432</v>
      </c>
      <c r="M9" s="12">
        <f t="shared" si="3"/>
        <v>3.5000354036629489E-3</v>
      </c>
      <c r="N9" s="45">
        <v>4.4246031746031749</v>
      </c>
      <c r="O9" s="46">
        <v>8.189400432978351</v>
      </c>
      <c r="P9" s="46">
        <f t="shared" si="4"/>
        <v>409.47002164891757</v>
      </c>
    </row>
    <row r="10" spans="1:16" ht="19.5" customHeight="1" x14ac:dyDescent="0.3">
      <c r="A10" s="17" t="s">
        <v>34</v>
      </c>
      <c r="B10" s="18"/>
      <c r="C10" s="18"/>
      <c r="D10" s="18"/>
      <c r="E10" s="18"/>
      <c r="F10" s="18"/>
      <c r="G10" s="18"/>
      <c r="H10" s="18"/>
      <c r="I10" s="18"/>
      <c r="J10" s="19">
        <f>SUM(J3:J9)</f>
        <v>6247998.1592715401</v>
      </c>
      <c r="K10" s="19">
        <f>SUM(K3:K9)</f>
        <v>6262005.4485258432</v>
      </c>
      <c r="L10" s="19">
        <f>SUM(L3:L9)</f>
        <v>14007.28925430344</v>
      </c>
      <c r="M10" s="20">
        <f>IF(J10=0,0,(K10/J10)-1)</f>
        <v>2.241884343950673E-3</v>
      </c>
      <c r="N10" s="21">
        <f>IFERROR(SUMPRODUCT(N3:N7,K3:K7)/SUM(K3:K7),0)</f>
        <v>3.0656517542254456</v>
      </c>
      <c r="O10" s="18"/>
      <c r="P10" s="19">
        <f>SUM(P3:P7)</f>
        <v>1228.6098700109142</v>
      </c>
    </row>
    <row r="11" spans="1:16" x14ac:dyDescent="0.3">
      <c r="A11" s="47" t="s">
        <v>35</v>
      </c>
    </row>
    <row r="12" spans="1:16" x14ac:dyDescent="0.3">
      <c r="A12" s="53" t="s">
        <v>36</v>
      </c>
      <c r="B12" s="51"/>
      <c r="C12" s="51"/>
    </row>
    <row r="13" spans="1:16" x14ac:dyDescent="0.3">
      <c r="A13" s="22" t="s">
        <v>37</v>
      </c>
      <c r="B13" s="50" t="s">
        <v>38</v>
      </c>
      <c r="C13" s="51"/>
      <c r="D13" s="51"/>
      <c r="E13" s="51"/>
    </row>
    <row r="14" spans="1:16" x14ac:dyDescent="0.3">
      <c r="A14" s="23" t="s">
        <v>37</v>
      </c>
      <c r="B14" s="50" t="s">
        <v>39</v>
      </c>
      <c r="C14" s="51"/>
      <c r="D14" s="51"/>
      <c r="E14" s="51"/>
    </row>
    <row r="15" spans="1:16" x14ac:dyDescent="0.3">
      <c r="A15" s="24" t="s">
        <v>37</v>
      </c>
      <c r="B15" s="50" t="s">
        <v>40</v>
      </c>
      <c r="C15" s="51"/>
      <c r="D15" s="51"/>
      <c r="E15" s="51"/>
    </row>
    <row r="16" spans="1:16" x14ac:dyDescent="0.3">
      <c r="A16" s="25" t="s">
        <v>37</v>
      </c>
      <c r="B16" s="50" t="s">
        <v>41</v>
      </c>
      <c r="C16" s="51"/>
      <c r="D16" s="51"/>
      <c r="E16" s="51"/>
    </row>
    <row r="18" spans="1:16" x14ac:dyDescent="0.3">
      <c r="A18" s="52" t="s">
        <v>42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</row>
    <row r="20" spans="1:16" x14ac:dyDescent="0.3">
      <c r="A20" s="2" t="s">
        <v>43</v>
      </c>
    </row>
  </sheetData>
  <mergeCells count="7">
    <mergeCell ref="A1:P1"/>
    <mergeCell ref="B13:E13"/>
    <mergeCell ref="A18:P18"/>
    <mergeCell ref="B16:E16"/>
    <mergeCell ref="B15:E15"/>
    <mergeCell ref="A12:C12"/>
    <mergeCell ref="B14:E14"/>
  </mergeCells>
  <conditionalFormatting sqref="L3:M9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zoomScaleNormal="100" workbookViewId="0"/>
  </sheetViews>
  <sheetFormatPr defaultColWidth="8.6640625" defaultRowHeight="14.4" x14ac:dyDescent="0.3"/>
  <cols>
    <col min="1" max="5" width="18" customWidth="1"/>
    <col min="6" max="6" width="2" customWidth="1"/>
    <col min="7" max="7" width="22" customWidth="1"/>
    <col min="8" max="8" width="2" customWidth="1"/>
    <col min="9" max="9" width="22" customWidth="1"/>
  </cols>
  <sheetData>
    <row r="1" spans="1:10" ht="27.75" customHeight="1" x14ac:dyDescent="0.3">
      <c r="A1" s="48" t="s">
        <v>44</v>
      </c>
      <c r="B1" s="49"/>
      <c r="C1" s="49"/>
      <c r="D1" s="49"/>
      <c r="E1" s="49"/>
      <c r="F1" s="49"/>
      <c r="G1" s="49"/>
      <c r="H1" s="49"/>
      <c r="I1" s="49"/>
      <c r="J1" s="49"/>
    </row>
    <row r="3" spans="1:10" ht="19.5" customHeight="1" x14ac:dyDescent="0.3">
      <c r="C3" s="1" t="s">
        <v>45</v>
      </c>
      <c r="E3" s="1" t="s">
        <v>46</v>
      </c>
      <c r="G3" s="1" t="s">
        <v>47</v>
      </c>
      <c r="I3" s="1" t="s">
        <v>48</v>
      </c>
    </row>
    <row r="4" spans="1:10" ht="36" customHeight="1" x14ac:dyDescent="0.3">
      <c r="C4" s="26">
        <v>14007.289254303623</v>
      </c>
      <c r="E4" s="26">
        <v>6262005.4485258432</v>
      </c>
      <c r="G4" s="26">
        <v>1228.6098700109142</v>
      </c>
      <c r="I4" s="27">
        <v>3.0656517542254451</v>
      </c>
    </row>
    <row r="5" spans="1:10" ht="6" customHeight="1" x14ac:dyDescent="0.3"/>
    <row r="6" spans="1:10" ht="19.5" customHeight="1" x14ac:dyDescent="0.3">
      <c r="C6" s="1" t="s">
        <v>49</v>
      </c>
    </row>
    <row r="7" spans="1:10" ht="36" customHeight="1" x14ac:dyDescent="0.3">
      <c r="C7" s="58">
        <v>1597.0785258430988</v>
      </c>
      <c r="E7" s="52" t="s">
        <v>50</v>
      </c>
      <c r="F7" s="51"/>
      <c r="G7" s="51"/>
      <c r="H7" s="51"/>
      <c r="I7" s="51"/>
      <c r="J7" s="51"/>
    </row>
    <row r="8" spans="1:10" ht="7.5" customHeight="1" x14ac:dyDescent="0.3"/>
    <row r="9" spans="1:10" x14ac:dyDescent="0.3">
      <c r="A9" s="54" t="s">
        <v>51</v>
      </c>
      <c r="B9" s="49"/>
      <c r="C9" s="49"/>
      <c r="D9" s="49"/>
      <c r="E9" s="55"/>
    </row>
    <row r="10" spans="1:10" ht="27.75" customHeight="1" x14ac:dyDescent="0.3">
      <c r="A10" s="28" t="s">
        <v>2</v>
      </c>
      <c r="B10" s="28" t="s">
        <v>52</v>
      </c>
      <c r="C10" s="28" t="s">
        <v>12</v>
      </c>
      <c r="D10" s="28" t="s">
        <v>13</v>
      </c>
      <c r="E10" s="28" t="s">
        <v>53</v>
      </c>
    </row>
    <row r="11" spans="1:10" x14ac:dyDescent="0.3">
      <c r="A11" s="29" t="s">
        <v>18</v>
      </c>
      <c r="B11" s="30" t="s">
        <v>54</v>
      </c>
      <c r="C11" s="30" t="s">
        <v>54</v>
      </c>
      <c r="D11" s="31" t="s">
        <v>54</v>
      </c>
      <c r="E11" s="30" t="s">
        <v>54</v>
      </c>
    </row>
    <row r="12" spans="1:10" x14ac:dyDescent="0.3">
      <c r="A12" s="29" t="s">
        <v>25</v>
      </c>
      <c r="B12" s="30" t="s">
        <v>54</v>
      </c>
      <c r="C12" s="30" t="s">
        <v>54</v>
      </c>
      <c r="D12" s="31" t="s">
        <v>54</v>
      </c>
      <c r="E12" s="30" t="s">
        <v>54</v>
      </c>
    </row>
    <row r="13" spans="1:10" x14ac:dyDescent="0.3">
      <c r="A13" s="29" t="s">
        <v>30</v>
      </c>
      <c r="B13" s="30" t="s">
        <v>54</v>
      </c>
      <c r="C13" s="30" t="s">
        <v>54</v>
      </c>
      <c r="D13" s="31" t="s">
        <v>54</v>
      </c>
      <c r="E13" s="30" t="s">
        <v>54</v>
      </c>
    </row>
    <row r="15" spans="1:10" ht="7.5" customHeight="1" x14ac:dyDescent="0.3"/>
    <row r="16" spans="1:10" x14ac:dyDescent="0.3">
      <c r="A16" s="52" t="s">
        <v>55</v>
      </c>
      <c r="B16" s="51"/>
      <c r="C16" s="51"/>
      <c r="D16" s="51"/>
      <c r="E16" s="51"/>
      <c r="F16" s="51"/>
      <c r="G16" s="51"/>
      <c r="H16" s="51"/>
      <c r="I16" s="51"/>
      <c r="J16" s="51"/>
    </row>
    <row r="17" spans="1:10" x14ac:dyDescent="0.3">
      <c r="A17" s="52" t="s">
        <v>56</v>
      </c>
      <c r="B17" s="51"/>
      <c r="C17" s="51"/>
      <c r="D17" s="51"/>
      <c r="E17" s="51"/>
      <c r="F17" s="51"/>
      <c r="G17" s="51"/>
      <c r="H17" s="51"/>
      <c r="I17" s="51"/>
      <c r="J17" s="51"/>
    </row>
    <row r="19" spans="1:10" x14ac:dyDescent="0.3">
      <c r="A19" s="2" t="s">
        <v>43</v>
      </c>
    </row>
  </sheetData>
  <mergeCells count="5">
    <mergeCell ref="A1:J1"/>
    <mergeCell ref="A17:J17"/>
    <mergeCell ref="A16:J16"/>
    <mergeCell ref="A9:E9"/>
    <mergeCell ref="E7:J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showGridLines="0" zoomScaleNormal="100" workbookViewId="0"/>
  </sheetViews>
  <sheetFormatPr defaultColWidth="8.6640625" defaultRowHeight="14.4" x14ac:dyDescent="0.3"/>
  <cols>
    <col min="1" max="4" width="20" customWidth="1"/>
  </cols>
  <sheetData>
    <row r="1" spans="1:4" ht="24" customHeight="1" x14ac:dyDescent="0.3">
      <c r="A1" s="56" t="s">
        <v>57</v>
      </c>
      <c r="B1" s="49"/>
      <c r="C1" s="49"/>
      <c r="D1" s="49"/>
    </row>
    <row r="3" spans="1:4" x14ac:dyDescent="0.3">
      <c r="A3" s="57" t="s">
        <v>58</v>
      </c>
      <c r="B3" s="49"/>
      <c r="C3" s="49"/>
      <c r="D3" s="55"/>
    </row>
    <row r="4" spans="1:4" x14ac:dyDescent="0.3">
      <c r="A4" s="32" t="s">
        <v>59</v>
      </c>
      <c r="B4" s="31">
        <v>0.15</v>
      </c>
    </row>
    <row r="5" spans="1:4" x14ac:dyDescent="0.3">
      <c r="A5" s="32" t="s">
        <v>60</v>
      </c>
      <c r="B5" s="31">
        <v>3.8100000000000002E-2</v>
      </c>
    </row>
    <row r="6" spans="1:4" x14ac:dyDescent="0.3">
      <c r="A6" s="32" t="s">
        <v>61</v>
      </c>
      <c r="B6" s="33">
        <v>18601.338215956523</v>
      </c>
    </row>
    <row r="7" spans="1:4" x14ac:dyDescent="0.3">
      <c r="A7" s="32" t="s">
        <v>62</v>
      </c>
      <c r="B7" s="34" t="s">
        <v>71</v>
      </c>
    </row>
    <row r="8" spans="1:4" x14ac:dyDescent="0.3">
      <c r="A8" s="32" t="s">
        <v>63</v>
      </c>
      <c r="B8" s="34" t="s">
        <v>64</v>
      </c>
    </row>
    <row r="10" spans="1:4" ht="7.5" customHeight="1" x14ac:dyDescent="0.3"/>
    <row r="11" spans="1:4" x14ac:dyDescent="0.3">
      <c r="A11" s="57" t="s">
        <v>65</v>
      </c>
      <c r="B11" s="49"/>
      <c r="C11" s="49"/>
      <c r="D11" s="55"/>
    </row>
    <row r="12" spans="1:4" x14ac:dyDescent="0.3">
      <c r="A12" s="35" t="s">
        <v>66</v>
      </c>
      <c r="B12" s="35" t="s">
        <v>67</v>
      </c>
      <c r="C12" s="35" t="s">
        <v>68</v>
      </c>
      <c r="D12" s="35" t="s">
        <v>69</v>
      </c>
    </row>
    <row r="13" spans="1:4" x14ac:dyDescent="0.3">
      <c r="A13" s="36">
        <v>0.25</v>
      </c>
      <c r="B13" s="37" t="s">
        <v>54</v>
      </c>
      <c r="C13" s="38" t="s">
        <v>54</v>
      </c>
      <c r="D13" s="38" t="s">
        <v>54</v>
      </c>
    </row>
    <row r="14" spans="1:4" x14ac:dyDescent="0.3">
      <c r="A14" s="36">
        <v>0.5</v>
      </c>
      <c r="B14" s="39" t="s">
        <v>54</v>
      </c>
      <c r="C14" s="40" t="s">
        <v>54</v>
      </c>
      <c r="D14" s="40" t="s">
        <v>54</v>
      </c>
    </row>
    <row r="15" spans="1:4" x14ac:dyDescent="0.3">
      <c r="A15" s="36">
        <v>1</v>
      </c>
      <c r="B15" s="37" t="s">
        <v>54</v>
      </c>
      <c r="C15" s="38" t="s">
        <v>54</v>
      </c>
      <c r="D15" s="38" t="s">
        <v>54</v>
      </c>
    </row>
    <row r="16" spans="1:4" x14ac:dyDescent="0.3">
      <c r="A16" s="36">
        <v>2</v>
      </c>
      <c r="B16" s="39" t="s">
        <v>54</v>
      </c>
      <c r="C16" s="40" t="s">
        <v>54</v>
      </c>
      <c r="D16" s="40" t="s">
        <v>54</v>
      </c>
    </row>
    <row r="17" spans="1:4" x14ac:dyDescent="0.3">
      <c r="A17" s="36">
        <v>3</v>
      </c>
      <c r="B17" s="37" t="s">
        <v>54</v>
      </c>
      <c r="C17" s="38" t="s">
        <v>54</v>
      </c>
      <c r="D17" s="38" t="s">
        <v>54</v>
      </c>
    </row>
    <row r="18" spans="1:4" x14ac:dyDescent="0.3">
      <c r="A18" s="36">
        <v>5</v>
      </c>
      <c r="B18" s="39" t="s">
        <v>54</v>
      </c>
      <c r="C18" s="40" t="s">
        <v>54</v>
      </c>
      <c r="D18" s="40" t="s">
        <v>54</v>
      </c>
    </row>
    <row r="19" spans="1:4" x14ac:dyDescent="0.3">
      <c r="A19" s="36">
        <v>7</v>
      </c>
      <c r="B19" s="37" t="s">
        <v>54</v>
      </c>
      <c r="C19" s="38" t="s">
        <v>54</v>
      </c>
      <c r="D19" s="38" t="s">
        <v>54</v>
      </c>
    </row>
    <row r="20" spans="1:4" x14ac:dyDescent="0.3">
      <c r="A20" s="36">
        <v>10</v>
      </c>
      <c r="B20" s="39" t="s">
        <v>54</v>
      </c>
      <c r="C20" s="40" t="s">
        <v>54</v>
      </c>
      <c r="D20" s="40" t="s">
        <v>54</v>
      </c>
    </row>
    <row r="22" spans="1:4" ht="7.5" customHeight="1" x14ac:dyDescent="0.3"/>
    <row r="23" spans="1:4" x14ac:dyDescent="0.3">
      <c r="A23" s="57" t="s">
        <v>70</v>
      </c>
      <c r="B23" s="49"/>
      <c r="C23" s="49"/>
      <c r="D23" s="55"/>
    </row>
    <row r="24" spans="1:4" x14ac:dyDescent="0.3">
      <c r="A24" s="35" t="s">
        <v>1</v>
      </c>
      <c r="B24" s="35">
        <v>0.14233700000000002</v>
      </c>
      <c r="C24" s="35">
        <v>962.1837471852192</v>
      </c>
      <c r="D24" s="35" t="s">
        <v>71</v>
      </c>
    </row>
    <row r="25" spans="1:4" x14ac:dyDescent="0.3">
      <c r="A25" s="41" t="s">
        <v>17</v>
      </c>
      <c r="B25" s="42">
        <v>0.13574</v>
      </c>
      <c r="C25" s="43">
        <v>796.68683377290654</v>
      </c>
      <c r="D25" s="44" t="s">
        <v>71</v>
      </c>
    </row>
    <row r="26" spans="1:4" x14ac:dyDescent="0.3">
      <c r="A26" s="41" t="s">
        <v>20</v>
      </c>
      <c r="B26" s="42">
        <v>0.13910500000000001</v>
      </c>
      <c r="C26" s="43">
        <v>895.20027977805751</v>
      </c>
      <c r="D26" s="44" t="s">
        <v>71</v>
      </c>
    </row>
    <row r="27" spans="1:4" x14ac:dyDescent="0.3">
      <c r="A27" s="41" t="s">
        <v>22</v>
      </c>
      <c r="B27" s="42">
        <v>8.0099000000000004E-2</v>
      </c>
      <c r="C27" s="43">
        <v>4484.889751050182</v>
      </c>
      <c r="D27" s="44" t="s">
        <v>71</v>
      </c>
    </row>
    <row r="28" spans="1:4" x14ac:dyDescent="0.3">
      <c r="A28" s="41" t="s">
        <v>24</v>
      </c>
      <c r="B28" s="42">
        <v>7.5815999999999995E-2</v>
      </c>
      <c r="C28" s="43">
        <v>4273.0362786558762</v>
      </c>
      <c r="D28" s="44" t="s">
        <v>71</v>
      </c>
    </row>
    <row r="29" spans="1:4" x14ac:dyDescent="0.3">
      <c r="A29" s="41" t="s">
        <v>27</v>
      </c>
      <c r="B29" s="42">
        <v>9.0000000000000002E-6</v>
      </c>
      <c r="C29" s="43">
        <v>18601.180105965152</v>
      </c>
      <c r="D29" s="44" t="s">
        <v>71</v>
      </c>
    </row>
    <row r="30" spans="1:4" x14ac:dyDescent="0.3">
      <c r="A30" s="41" t="s">
        <v>29</v>
      </c>
      <c r="B30" s="42">
        <v>9.2000000000000003E-4</v>
      </c>
      <c r="C30" s="43">
        <v>18525.807531003822</v>
      </c>
      <c r="D30" s="44" t="s">
        <v>71</v>
      </c>
    </row>
    <row r="31" spans="1:4" x14ac:dyDescent="0.3">
      <c r="A31" s="41" t="s">
        <v>32</v>
      </c>
      <c r="B31" s="42" t="s">
        <v>54</v>
      </c>
      <c r="C31" s="43" t="s">
        <v>54</v>
      </c>
      <c r="D31" s="44" t="s">
        <v>54</v>
      </c>
    </row>
    <row r="33" spans="1:1" x14ac:dyDescent="0.3">
      <c r="A33" s="2" t="s">
        <v>43</v>
      </c>
    </row>
  </sheetData>
  <mergeCells count="4">
    <mergeCell ref="A1:D1"/>
    <mergeCell ref="A23:D23"/>
    <mergeCell ref="A3:D3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CARTEIRA RF</vt:lpstr>
      <vt:lpstr>CONTROLE CARTEIRA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Murilo Mendes</cp:lastModifiedBy>
  <cp:revision>0</cp:revision>
  <dcterms:created xsi:type="dcterms:W3CDTF">2026-03-16T20:21:04Z</dcterms:created>
  <dcterms:modified xsi:type="dcterms:W3CDTF">2026-03-17T01:02:24Z</dcterms:modified>
  <dc:language>en-US</dc:language>
</cp:coreProperties>
</file>